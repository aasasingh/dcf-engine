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Reverse DCF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Historicals" sheetId="5" state="visible" r:id="rId5"/>
  </sheets>
  <definedNames>
    <definedName name="Price">'Inputs'!$B$5</definedName>
    <definedName name="Shares">'Inputs'!$B$6</definedName>
    <definedName name="Revenue_0">'Inputs'!$B$7</definedName>
    <definedName name="Cash">'Inputs'!$B$8</definedName>
    <definedName name="Debt">'Inputs'!$B$9</definedName>
    <definedName name="Leases">'Inputs'!$B$10</definedName>
    <definedName name="Growth_Y1">'Inputs'!$B$13</definedName>
    <definedName name="Growth_Start">'Inputs'!$B$14</definedName>
    <definedName name="Terminal_Growth">'Inputs'!$B$15</definedName>
    <definedName name="Margin_Start">'Inputs'!$B$16</definedName>
    <definedName name="Margin_Target">'Inputs'!$B$17</definedName>
    <definedName name="Margin_Fade">'Inputs'!$B$18</definedName>
    <definedName name="Tax_Rate">'Inputs'!$B$19</definedName>
    <definedName name="DA_Pct">'Inputs'!$B$20</definedName>
    <definedName name="Capex_Pct">'Inputs'!$B$21</definedName>
    <definedName name="NWC_Pct">'Inputs'!$B$22</definedName>
    <definedName name="Risk_Free">'Inputs'!$B$23</definedName>
    <definedName name="Beta">'Inputs'!$B$24</definedName>
    <definedName name="ERP">'Inputs'!$B$25</definedName>
    <definedName name="Kd_Pre">'Inputs'!$B$26</definedName>
    <definedName name="Mid_Year">'Inputs'!$B$27</definedName>
    <definedName name="Leases_As_Debt">'Inputs'!$B$28</definedName>
    <definedName name="N_Years">'Inputs'!$B$29</definedName>
    <definedName name="Cost_Of_Equity">'Inputs'!$B$32</definedName>
    <definedName name="Equity_MV">'Inputs'!$B$33</definedName>
    <definedName name="Debt_For_WACC">'Inputs'!$B$34</definedName>
    <definedName name="WACC_Computed">'Inputs'!$B$35</definedName>
    <definedName name="WACC_Override">'Inputs'!$B$36</definedName>
    <definedName name="WACC">'Inputs'!$B$37</definedName>
    <definedName name="Net_Debt">'Inputs'!$B$38</definedName>
    <definedName name="PV_FCFF">'DCF'!$B$21</definedName>
    <definedName name="TV">'DCF'!$B$22</definedName>
    <definedName name="PV_TV">'DCF'!$B$23</definedName>
    <definedName name="EV">'DCF'!$B$24</definedName>
    <definedName name="Equity_Value">'DCF'!$B$26</definedName>
    <definedName name="Value_Per_Share">'DCF'!$B$27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#,##0.0,,"/>
    <numFmt numFmtId="166" formatCode="#,##0.0,,;(#,##0.0,,);&quot;-&quot;"/>
    <numFmt numFmtId="167" formatCode="0.0%"/>
    <numFmt numFmtId="168" formatCode="0.0"/>
    <numFmt numFmtId="169" formatCode="0.000"/>
    <numFmt numFmtId="170" formatCode="0.0&quot;x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2" fillId="2" borderId="0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0" fontId="2" fillId="3" borderId="0" pivotButton="0" quotePrefix="0" xfId="0"/>
    <xf numFmtId="167" fontId="2" fillId="3" borderId="0" applyAlignment="1" pivotButton="0" quotePrefix="0" xfId="0">
      <alignment horizontal="right"/>
    </xf>
    <xf numFmtId="167" fontId="2" fillId="3" borderId="0" pivotButton="0" quotePrefix="0" xfId="0"/>
    <xf numFmtId="164" fontId="2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lululemon athletica inc. (LULU) - DCF inputs</t>
        </is>
      </c>
      <c r="B1" s="2" t="n"/>
    </row>
    <row r="2">
      <c r="A2" t="inlineStr">
        <is>
          <t>Base period TTM Aug-26 (ended 02 Aug 2026). Market data as of 2026-10-20. Blue = input (edit freely); black = formula.</t>
        </is>
      </c>
      <c r="B2" s="2" t="n"/>
    </row>
    <row r="3">
      <c r="B3" s="2" t="n"/>
    </row>
    <row r="4">
      <c r="A4" s="3" t="inlineStr">
        <is>
          <t>Market &amp; balance sheet</t>
        </is>
      </c>
      <c r="B4" s="2" t="n"/>
    </row>
    <row r="5">
      <c r="A5" t="inlineStr">
        <is>
          <t>Share price</t>
        </is>
      </c>
      <c r="B5" s="4" t="n">
        <v>99.94000244140625</v>
      </c>
    </row>
    <row r="6">
      <c r="A6" t="inlineStr">
        <is>
          <t>Shares outstanding (millions)</t>
        </is>
      </c>
      <c r="B6" s="5" t="n">
        <v>110555064</v>
      </c>
    </row>
    <row r="7">
      <c r="A7" t="inlineStr">
        <is>
          <t>Base-period revenue ($M)</t>
        </is>
      </c>
      <c r="B7" s="6" t="n">
        <v>11093955000</v>
      </c>
    </row>
    <row r="8">
      <c r="A8" t="inlineStr">
        <is>
          <t>Cash + short-term investments ($M)</t>
        </is>
      </c>
      <c r="B8" s="6" t="n">
        <v>1389737000</v>
      </c>
    </row>
    <row r="9">
      <c r="A9" t="inlineStr">
        <is>
          <t>Debt ($M)</t>
        </is>
      </c>
      <c r="B9" s="6" t="n">
        <v>0</v>
      </c>
    </row>
    <row r="10">
      <c r="A10" t="inlineStr">
        <is>
          <t>Operating lease liabilities ($M)</t>
        </is>
      </c>
      <c r="B10" s="6" t="n">
        <v>2141127000</v>
      </c>
    </row>
    <row r="11">
      <c r="B11" s="2" t="n"/>
    </row>
    <row r="12">
      <c r="A12" s="3" t="inlineStr">
        <is>
          <t>Assumptions</t>
        </is>
      </c>
      <c r="B12" s="2" t="n"/>
    </row>
    <row r="13">
      <c r="A13" t="inlineStr">
        <is>
          <t>Revenue growth, year 1</t>
        </is>
      </c>
      <c r="B13" s="7" t="n">
        <v>-0.07000000000000001</v>
      </c>
    </row>
    <row r="14">
      <c r="A14" t="inlineStr">
        <is>
          <t>Revenue growth, start of fade line</t>
        </is>
      </c>
      <c r="B14" s="7" t="n">
        <v>0.03</v>
      </c>
    </row>
    <row r="15">
      <c r="A15" t="inlineStr">
        <is>
          <t>Terminal growth (final year &amp; beyond)</t>
        </is>
      </c>
      <c r="B15" s="7" t="n">
        <v>0.025</v>
      </c>
    </row>
    <row r="16">
      <c r="A16" t="inlineStr">
        <is>
          <t>EBIT margin, starting</t>
        </is>
      </c>
      <c r="B16" s="7" t="n">
        <v>0.14</v>
      </c>
    </row>
    <row r="17">
      <c r="A17" t="inlineStr">
        <is>
          <t>EBIT margin, target</t>
        </is>
      </c>
      <c r="B17" s="7" t="n">
        <v>0.17</v>
      </c>
    </row>
    <row r="18">
      <c r="A18" t="inlineStr">
        <is>
          <t>Years to reach target margin</t>
        </is>
      </c>
      <c r="B18" s="8" t="n">
        <v>5</v>
      </c>
    </row>
    <row r="19">
      <c r="A19" t="inlineStr">
        <is>
          <t>Tax rate</t>
        </is>
      </c>
      <c r="B19" s="7" t="n">
        <v>0.2947</v>
      </c>
    </row>
    <row r="20">
      <c r="A20" t="inlineStr">
        <is>
          <t>D&amp;A % of revenue</t>
        </is>
      </c>
      <c r="B20" s="7" t="n">
        <v>0.045</v>
      </c>
    </row>
    <row r="21">
      <c r="A21" t="inlineStr">
        <is>
          <t>Capex % of revenue</t>
        </is>
      </c>
      <c r="B21" s="7" t="n">
        <v>0.055</v>
      </c>
    </row>
    <row r="22">
      <c r="A22" t="inlineStr">
        <is>
          <t>Net working capital % of revenue</t>
        </is>
      </c>
      <c r="B22" s="7" t="n">
        <v>0.07000000000000001</v>
      </c>
    </row>
    <row r="23">
      <c r="A23" t="inlineStr">
        <is>
          <t>Risk-free rate (10Y UST)</t>
        </is>
      </c>
      <c r="B23" s="7" t="n">
        <v>0.0512</v>
      </c>
    </row>
    <row r="24">
      <c r="A24" t="inlineStr">
        <is>
          <t>Beta (Blume-adjusted)</t>
        </is>
      </c>
      <c r="B24" s="9" t="n">
        <v>1.05</v>
      </c>
    </row>
    <row r="25">
      <c r="A25" t="inlineStr">
        <is>
          <t>Equity risk premium</t>
        </is>
      </c>
      <c r="B25" s="7" t="n">
        <v>0.045</v>
      </c>
    </row>
    <row r="26">
      <c r="A26" t="inlineStr">
        <is>
          <t>Pre-tax cost of debt</t>
        </is>
      </c>
      <c r="B26" s="7" t="n">
        <v>0.06619999999999999</v>
      </c>
    </row>
    <row r="27">
      <c r="A27" t="inlineStr">
        <is>
          <t>Mid-year convention (1 = yes)</t>
        </is>
      </c>
      <c r="B27" s="8" t="n">
        <v>1</v>
      </c>
    </row>
    <row r="28">
      <c r="A28" t="inlineStr">
        <is>
          <t>Treat leases as debt (1 = yes)</t>
        </is>
      </c>
      <c r="B28" s="8" t="n">
        <v>0</v>
      </c>
    </row>
    <row r="29">
      <c r="A29" t="inlineStr">
        <is>
          <t>Forecast years (structural: rebuild workbook to change)</t>
        </is>
      </c>
      <c r="B29" s="2" t="n">
        <v>10</v>
      </c>
    </row>
    <row r="30">
      <c r="B30" s="2" t="n"/>
    </row>
    <row r="31">
      <c r="A31" s="3" t="inlineStr">
        <is>
          <t>Discount rate</t>
        </is>
      </c>
      <c r="B31" s="2" t="n"/>
    </row>
    <row r="32">
      <c r="A32" t="inlineStr">
        <is>
          <t>Cost of equity (CAPM)</t>
        </is>
      </c>
      <c r="B32" s="10">
        <f>Risk_Free+Beta*ERP</f>
        <v/>
      </c>
    </row>
    <row r="33">
      <c r="A33" t="inlineStr">
        <is>
          <t>Market value of equity ($M)</t>
        </is>
      </c>
      <c r="B33" s="11">
        <f>Price*Shares</f>
        <v/>
      </c>
    </row>
    <row r="34">
      <c r="A34" t="inlineStr">
        <is>
          <t>Debt used in WACC ($M)</t>
        </is>
      </c>
      <c r="B34" s="11">
        <f>Debt+Leases*Leases_As_Debt</f>
        <v/>
      </c>
    </row>
    <row r="35">
      <c r="A35" t="inlineStr">
        <is>
          <t>WACC (computed)</t>
        </is>
      </c>
      <c r="B35" s="10">
        <f>(Equity_MV*Cost_Of_Equity+Debt_For_WACC*Kd_Pre*(1-Tax_Rate))/(Equity_MV+Debt_For_WACC)</f>
        <v/>
      </c>
    </row>
    <row r="36">
      <c r="A36" t="inlineStr">
        <is>
          <t>WACC override (leave blank to use computed)</t>
        </is>
      </c>
      <c r="B36" s="7" t="n"/>
    </row>
    <row r="37">
      <c r="A37" s="3" t="inlineStr">
        <is>
          <t>WACC used</t>
        </is>
      </c>
      <c r="B37" s="12">
        <f>IF(WACC_Override="",WACC_Computed,WACC_Override)</f>
        <v/>
      </c>
    </row>
    <row r="38">
      <c r="A38" t="inlineStr">
        <is>
          <t>Net debt ($M)</t>
        </is>
      </c>
      <c r="B38" s="11">
        <f>Debt_For_WACC-Cash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LULU discounted cash flow ($M except per share)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Fiscal year</t>
        </is>
      </c>
      <c r="B3" s="13" t="inlineStr">
        <is>
          <t>Aug-27</t>
        </is>
      </c>
      <c r="C3" s="13" t="inlineStr">
        <is>
          <t>Aug-28</t>
        </is>
      </c>
      <c r="D3" s="13" t="inlineStr">
        <is>
          <t>Aug-29</t>
        </is>
      </c>
      <c r="E3" s="13" t="inlineStr">
        <is>
          <t>Aug-30</t>
        </is>
      </c>
      <c r="F3" s="13" t="inlineStr">
        <is>
          <t>Aug-31</t>
        </is>
      </c>
      <c r="G3" s="13" t="inlineStr">
        <is>
          <t>Aug-32</t>
        </is>
      </c>
      <c r="H3" s="13" t="inlineStr">
        <is>
          <t>Aug-33</t>
        </is>
      </c>
      <c r="I3" s="13" t="inlineStr">
        <is>
          <t>Aug-34</t>
        </is>
      </c>
      <c r="J3" s="13" t="inlineStr">
        <is>
          <t>Aug-35</t>
        </is>
      </c>
      <c r="K3" s="13" t="inlineStr">
        <is>
          <t>Aug-36</t>
        </is>
      </c>
    </row>
    <row r="4">
      <c r="A4" t="inlineStr">
        <is>
          <t>Year #</t>
        </is>
      </c>
      <c r="B4" s="2" t="n">
        <v>1</v>
      </c>
      <c r="C4" s="2" t="n">
        <v>2</v>
      </c>
      <c r="D4" s="2" t="n">
        <v>3</v>
      </c>
      <c r="E4" s="2" t="n">
        <v>4</v>
      </c>
      <c r="F4" s="2" t="n">
        <v>5</v>
      </c>
      <c r="G4" s="2" t="n">
        <v>6</v>
      </c>
      <c r="H4" s="2" t="n">
        <v>7</v>
      </c>
      <c r="I4" s="2" t="n">
        <v>8</v>
      </c>
      <c r="J4" s="2" t="n">
        <v>9</v>
      </c>
      <c r="K4" s="2" t="n">
        <v>10</v>
      </c>
    </row>
    <row r="5">
      <c r="A5" t="inlineStr">
        <is>
          <t>Revenue growth</t>
        </is>
      </c>
      <c r="B5" s="10">
        <f>IF(B4=1,Growth_Y1,Growth_Start+(Terminal_Growth-Growth_Start)*(B4-1)/(N_Years-1))</f>
        <v/>
      </c>
      <c r="C5" s="10">
        <f>IF(C4=1,Growth_Y1,Growth_Start+(Terminal_Growth-Growth_Start)*(C4-1)/(N_Years-1))</f>
        <v/>
      </c>
      <c r="D5" s="10">
        <f>IF(D4=1,Growth_Y1,Growth_Start+(Terminal_Growth-Growth_Start)*(D4-1)/(N_Years-1))</f>
        <v/>
      </c>
      <c r="E5" s="10">
        <f>IF(E4=1,Growth_Y1,Growth_Start+(Terminal_Growth-Growth_Start)*(E4-1)/(N_Years-1))</f>
        <v/>
      </c>
      <c r="F5" s="10">
        <f>IF(F4=1,Growth_Y1,Growth_Start+(Terminal_Growth-Growth_Start)*(F4-1)/(N_Years-1))</f>
        <v/>
      </c>
      <c r="G5" s="10">
        <f>IF(G4=1,Growth_Y1,Growth_Start+(Terminal_Growth-Growth_Start)*(G4-1)/(N_Years-1))</f>
        <v/>
      </c>
      <c r="H5" s="10">
        <f>IF(H4=1,Growth_Y1,Growth_Start+(Terminal_Growth-Growth_Start)*(H4-1)/(N_Years-1))</f>
        <v/>
      </c>
      <c r="I5" s="10">
        <f>IF(I4=1,Growth_Y1,Growth_Start+(Terminal_Growth-Growth_Start)*(I4-1)/(N_Years-1))</f>
        <v/>
      </c>
      <c r="J5" s="10">
        <f>IF(J4=1,Growth_Y1,Growth_Start+(Terminal_Growth-Growth_Start)*(J4-1)/(N_Years-1))</f>
        <v/>
      </c>
      <c r="K5" s="10">
        <f>IF(K4=1,Growth_Y1,Growth_Start+(Terminal_Growth-Growth_Start)*(K4-1)/(N_Years-1))</f>
        <v/>
      </c>
    </row>
    <row r="6">
      <c r="A6" t="inlineStr">
        <is>
          <t>Revenue</t>
        </is>
      </c>
      <c r="B6" s="11">
        <f>Revenue_0*(1+B5)</f>
        <v/>
      </c>
      <c r="C6" s="11">
        <f>B6*(1+C5)</f>
        <v/>
      </c>
      <c r="D6" s="11">
        <f>C6*(1+D5)</f>
        <v/>
      </c>
      <c r="E6" s="11">
        <f>D6*(1+E5)</f>
        <v/>
      </c>
      <c r="F6" s="11">
        <f>E6*(1+F5)</f>
        <v/>
      </c>
      <c r="G6" s="11">
        <f>F6*(1+G5)</f>
        <v/>
      </c>
      <c r="H6" s="11">
        <f>G6*(1+H5)</f>
        <v/>
      </c>
      <c r="I6" s="11">
        <f>H6*(1+I5)</f>
        <v/>
      </c>
      <c r="J6" s="11">
        <f>I6*(1+J5)</f>
        <v/>
      </c>
      <c r="K6" s="11">
        <f>J6*(1+K5)</f>
        <v/>
      </c>
    </row>
    <row r="7">
      <c r="A7" t="inlineStr">
        <is>
          <t>EBIT margin</t>
        </is>
      </c>
      <c r="B7" s="10">
        <f>Margin_Start+(Margin_Target-Margin_Start)*MIN(B4/Margin_Fade,1)</f>
        <v/>
      </c>
      <c r="C7" s="10">
        <f>Margin_Start+(Margin_Target-Margin_Start)*MIN(C4/Margin_Fade,1)</f>
        <v/>
      </c>
      <c r="D7" s="10">
        <f>Margin_Start+(Margin_Target-Margin_Start)*MIN(D4/Margin_Fade,1)</f>
        <v/>
      </c>
      <c r="E7" s="10">
        <f>Margin_Start+(Margin_Target-Margin_Start)*MIN(E4/Margin_Fade,1)</f>
        <v/>
      </c>
      <c r="F7" s="10">
        <f>Margin_Start+(Margin_Target-Margin_Start)*MIN(F4/Margin_Fade,1)</f>
        <v/>
      </c>
      <c r="G7" s="10">
        <f>Margin_Start+(Margin_Target-Margin_Start)*MIN(G4/Margin_Fade,1)</f>
        <v/>
      </c>
      <c r="H7" s="10">
        <f>Margin_Start+(Margin_Target-Margin_Start)*MIN(H4/Margin_Fade,1)</f>
        <v/>
      </c>
      <c r="I7" s="10">
        <f>Margin_Start+(Margin_Target-Margin_Start)*MIN(I4/Margin_Fade,1)</f>
        <v/>
      </c>
      <c r="J7" s="10">
        <f>Margin_Start+(Margin_Target-Margin_Start)*MIN(J4/Margin_Fade,1)</f>
        <v/>
      </c>
      <c r="K7" s="10">
        <f>Margin_Start+(Margin_Target-Margin_Start)*MIN(K4/Margin_Fade,1)</f>
        <v/>
      </c>
    </row>
    <row r="8">
      <c r="A8" t="inlineStr">
        <is>
          <t>EBIT</t>
        </is>
      </c>
      <c r="B8" s="11">
        <f>B6*B7</f>
        <v/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  <c r="I8" s="11">
        <f>I6*I7</f>
        <v/>
      </c>
      <c r="J8" s="11">
        <f>J6*J7</f>
        <v/>
      </c>
      <c r="K8" s="11">
        <f>K6*K7</f>
        <v/>
      </c>
    </row>
    <row r="9">
      <c r="A9" t="inlineStr">
        <is>
          <t>Taxes</t>
        </is>
      </c>
      <c r="B9" s="11">
        <f>B8*Tax_Rate</f>
        <v/>
      </c>
      <c r="C9" s="11">
        <f>C8*Tax_Rate</f>
        <v/>
      </c>
      <c r="D9" s="11">
        <f>D8*Tax_Rate</f>
        <v/>
      </c>
      <c r="E9" s="11">
        <f>E8*Tax_Rate</f>
        <v/>
      </c>
      <c r="F9" s="11">
        <f>F8*Tax_Rate</f>
        <v/>
      </c>
      <c r="G9" s="11">
        <f>G8*Tax_Rate</f>
        <v/>
      </c>
      <c r="H9" s="11">
        <f>H8*Tax_Rate</f>
        <v/>
      </c>
      <c r="I9" s="11">
        <f>I8*Tax_Rate</f>
        <v/>
      </c>
      <c r="J9" s="11">
        <f>J8*Tax_Rate</f>
        <v/>
      </c>
      <c r="K9" s="11">
        <f>K8*Tax_Rate</f>
        <v/>
      </c>
    </row>
    <row r="10">
      <c r="A10" t="inlineStr">
        <is>
          <t>NOPAT</t>
        </is>
      </c>
      <c r="B10" s="11">
        <f>B8-B9</f>
        <v/>
      </c>
      <c r="C10" s="11">
        <f>C8-C9</f>
        <v/>
      </c>
      <c r="D10" s="11">
        <f>D8-D9</f>
        <v/>
      </c>
      <c r="E10" s="11">
        <f>E8-E9</f>
        <v/>
      </c>
      <c r="F10" s="11">
        <f>F8-F9</f>
        <v/>
      </c>
      <c r="G10" s="11">
        <f>G8-G9</f>
        <v/>
      </c>
      <c r="H10" s="11">
        <f>H8-H9</f>
        <v/>
      </c>
      <c r="I10" s="11">
        <f>I8-I9</f>
        <v/>
      </c>
      <c r="J10" s="11">
        <f>J8-J9</f>
        <v/>
      </c>
      <c r="K10" s="11">
        <f>K8-K9</f>
        <v/>
      </c>
    </row>
    <row r="11">
      <c r="A11" t="inlineStr">
        <is>
          <t>+ D&amp;A</t>
        </is>
      </c>
      <c r="B11" s="11">
        <f>B6*DA_Pct</f>
        <v/>
      </c>
      <c r="C11" s="11">
        <f>C6*DA_Pct</f>
        <v/>
      </c>
      <c r="D11" s="11">
        <f>D6*DA_Pct</f>
        <v/>
      </c>
      <c r="E11" s="11">
        <f>E6*DA_Pct</f>
        <v/>
      </c>
      <c r="F11" s="11">
        <f>F6*DA_Pct</f>
        <v/>
      </c>
      <c r="G11" s="11">
        <f>G6*DA_Pct</f>
        <v/>
      </c>
      <c r="H11" s="11">
        <f>H6*DA_Pct</f>
        <v/>
      </c>
      <c r="I11" s="11">
        <f>I6*DA_Pct</f>
        <v/>
      </c>
      <c r="J11" s="11">
        <f>J6*DA_Pct</f>
        <v/>
      </c>
      <c r="K11" s="11">
        <f>K6*DA_Pct</f>
        <v/>
      </c>
    </row>
    <row r="12">
      <c r="A12" t="inlineStr">
        <is>
          <t>- Capex</t>
        </is>
      </c>
      <c r="B12" s="11">
        <f>B6*Capex_Pct</f>
        <v/>
      </c>
      <c r="C12" s="11">
        <f>C6*Capex_Pct</f>
        <v/>
      </c>
      <c r="D12" s="11">
        <f>D6*Capex_Pct</f>
        <v/>
      </c>
      <c r="E12" s="11">
        <f>E6*Capex_Pct</f>
        <v/>
      </c>
      <c r="F12" s="11">
        <f>F6*Capex_Pct</f>
        <v/>
      </c>
      <c r="G12" s="11">
        <f>G6*Capex_Pct</f>
        <v/>
      </c>
      <c r="H12" s="11">
        <f>H6*Capex_Pct</f>
        <v/>
      </c>
      <c r="I12" s="11">
        <f>I6*Capex_Pct</f>
        <v/>
      </c>
      <c r="J12" s="11">
        <f>J6*Capex_Pct</f>
        <v/>
      </c>
      <c r="K12" s="11">
        <f>K6*Capex_Pct</f>
        <v/>
      </c>
    </row>
    <row r="13">
      <c r="A13" t="inlineStr">
        <is>
          <t>Net working capital</t>
        </is>
      </c>
      <c r="B13" s="11">
        <f>B6*NWC_Pct</f>
        <v/>
      </c>
      <c r="C13" s="11">
        <f>C6*NWC_Pct</f>
        <v/>
      </c>
      <c r="D13" s="11">
        <f>D6*NWC_Pct</f>
        <v/>
      </c>
      <c r="E13" s="11">
        <f>E6*NWC_Pct</f>
        <v/>
      </c>
      <c r="F13" s="11">
        <f>F6*NWC_Pct</f>
        <v/>
      </c>
      <c r="G13" s="11">
        <f>G6*NWC_Pct</f>
        <v/>
      </c>
      <c r="H13" s="11">
        <f>H6*NWC_Pct</f>
        <v/>
      </c>
      <c r="I13" s="11">
        <f>I6*NWC_Pct</f>
        <v/>
      </c>
      <c r="J13" s="11">
        <f>J6*NWC_Pct</f>
        <v/>
      </c>
      <c r="K13" s="11">
        <f>K6*NWC_Pct</f>
        <v/>
      </c>
    </row>
    <row r="14">
      <c r="A14" t="inlineStr">
        <is>
          <t>- Change in NWC</t>
        </is>
      </c>
      <c r="B14" s="11">
        <f>B13-Revenue_0*NWC_Pct</f>
        <v/>
      </c>
      <c r="C14" s="11">
        <f>C13-B13</f>
        <v/>
      </c>
      <c r="D14" s="11">
        <f>D13-C13</f>
        <v/>
      </c>
      <c r="E14" s="11">
        <f>E13-D13</f>
        <v/>
      </c>
      <c r="F14" s="11">
        <f>F13-E13</f>
        <v/>
      </c>
      <c r="G14" s="11">
        <f>G13-F13</f>
        <v/>
      </c>
      <c r="H14" s="11">
        <f>H13-G13</f>
        <v/>
      </c>
      <c r="I14" s="11">
        <f>I13-H13</f>
        <v/>
      </c>
      <c r="J14" s="11">
        <f>J13-I13</f>
        <v/>
      </c>
      <c r="K14" s="11">
        <f>K13-J13</f>
        <v/>
      </c>
    </row>
    <row r="15">
      <c r="A15" s="3" t="inlineStr">
        <is>
          <t>Free cash flow to firm</t>
        </is>
      </c>
      <c r="B15" s="14">
        <f>B10+B11-B12-B14</f>
        <v/>
      </c>
      <c r="C15" s="14">
        <f>C10+C11-C12-C14</f>
        <v/>
      </c>
      <c r="D15" s="14">
        <f>D10+D11-D12-D14</f>
        <v/>
      </c>
      <c r="E15" s="14">
        <f>E10+E11-E12-E14</f>
        <v/>
      </c>
      <c r="F15" s="14">
        <f>F10+F11-F12-F14</f>
        <v/>
      </c>
      <c r="G15" s="14">
        <f>G10+G11-G12-G14</f>
        <v/>
      </c>
      <c r="H15" s="14">
        <f>H10+H11-H12-H14</f>
        <v/>
      </c>
      <c r="I15" s="14">
        <f>I10+I11-I12-I14</f>
        <v/>
      </c>
      <c r="J15" s="14">
        <f>J10+J11-J12-J14</f>
        <v/>
      </c>
      <c r="K15" s="14">
        <f>K10+K11-K12-K14</f>
        <v/>
      </c>
    </row>
    <row r="16">
      <c r="A16" t="inlineStr">
        <is>
          <t>Discount period</t>
        </is>
      </c>
      <c r="B16" s="15">
        <f>B4-0.5*Mid_Year</f>
        <v/>
      </c>
      <c r="C16" s="15">
        <f>C4-0.5*Mid_Year</f>
        <v/>
      </c>
      <c r="D16" s="15">
        <f>D4-0.5*Mid_Year</f>
        <v/>
      </c>
      <c r="E16" s="15">
        <f>E4-0.5*Mid_Year</f>
        <v/>
      </c>
      <c r="F16" s="15">
        <f>F4-0.5*Mid_Year</f>
        <v/>
      </c>
      <c r="G16" s="15">
        <f>G4-0.5*Mid_Year</f>
        <v/>
      </c>
      <c r="H16" s="15">
        <f>H4-0.5*Mid_Year</f>
        <v/>
      </c>
      <c r="I16" s="15">
        <f>I4-0.5*Mid_Year</f>
        <v/>
      </c>
      <c r="J16" s="15">
        <f>J4-0.5*Mid_Year</f>
        <v/>
      </c>
      <c r="K16" s="15">
        <f>K4-0.5*Mid_Year</f>
        <v/>
      </c>
    </row>
    <row r="17">
      <c r="A17" t="inlineStr">
        <is>
          <t>Discount factor</t>
        </is>
      </c>
      <c r="B17" s="16">
        <f>1/(1+WACC)^B16</f>
        <v/>
      </c>
      <c r="C17" s="16">
        <f>1/(1+WACC)^C16</f>
        <v/>
      </c>
      <c r="D17" s="16">
        <f>1/(1+WACC)^D16</f>
        <v/>
      </c>
      <c r="E17" s="16">
        <f>1/(1+WACC)^E16</f>
        <v/>
      </c>
      <c r="F17" s="16">
        <f>1/(1+WACC)^F16</f>
        <v/>
      </c>
      <c r="G17" s="16">
        <f>1/(1+WACC)^G16</f>
        <v/>
      </c>
      <c r="H17" s="16">
        <f>1/(1+WACC)^H16</f>
        <v/>
      </c>
      <c r="I17" s="16">
        <f>1/(1+WACC)^I16</f>
        <v/>
      </c>
      <c r="J17" s="16">
        <f>1/(1+WACC)^J16</f>
        <v/>
      </c>
      <c r="K17" s="16">
        <f>1/(1+WACC)^K16</f>
        <v/>
      </c>
    </row>
    <row r="18">
      <c r="A18" s="3" t="inlineStr">
        <is>
          <t>PV of FCFF</t>
        </is>
      </c>
      <c r="B18" s="14">
        <f>B15*B17</f>
        <v/>
      </c>
      <c r="C18" s="14">
        <f>C15*C17</f>
        <v/>
      </c>
      <c r="D18" s="14">
        <f>D15*D17</f>
        <v/>
      </c>
      <c r="E18" s="14">
        <f>E15*E17</f>
        <v/>
      </c>
      <c r="F18" s="14">
        <f>F15*F17</f>
        <v/>
      </c>
      <c r="G18" s="14">
        <f>G15*G17</f>
        <v/>
      </c>
      <c r="H18" s="14">
        <f>H15*H17</f>
        <v/>
      </c>
      <c r="I18" s="14">
        <f>I15*I17</f>
        <v/>
      </c>
      <c r="J18" s="14">
        <f>J15*J17</f>
        <v/>
      </c>
      <c r="K18" s="14">
        <f>K15*K17</f>
        <v/>
      </c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3" t="inlineStr">
        <is>
          <t>Valuation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t="inlineStr">
        <is>
          <t>Sum of PV of FCFF</t>
        </is>
      </c>
      <c r="B21" s="11">
        <f>SUM(B18:K18)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t="inlineStr">
        <is>
          <t>Terminal value (Gordon growth)</t>
        </is>
      </c>
      <c r="B22" s="11">
        <f>K15*(1+Terminal_Growth)/(WACC-Terminal_Growth)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t="inlineStr">
        <is>
          <t>PV of terminal value</t>
        </is>
      </c>
      <c r="B23" s="11">
        <f>TV/(1+WACC)^N_Years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3" t="inlineStr">
        <is>
          <t>Enterprise value</t>
        </is>
      </c>
      <c r="B24" s="17">
        <f>PV_FCFF+PV_TV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t="inlineStr">
        <is>
          <t>Less: net debt</t>
        </is>
      </c>
      <c r="B25" s="11">
        <f>Net_Debt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3" t="inlineStr">
        <is>
          <t>Equity value</t>
        </is>
      </c>
      <c r="B26" s="17">
        <f>EV-Net_Debt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3" t="inlineStr">
        <is>
          <t>Value per share</t>
        </is>
      </c>
      <c r="B27" s="18">
        <f>Equity_Value/Shares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t="inlineStr">
        <is>
          <t>Current price</t>
        </is>
      </c>
      <c r="B28" s="19">
        <f>Price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t="inlineStr">
        <is>
          <t>Upside / (downside)</t>
        </is>
      </c>
      <c r="B29" s="10">
        <f>Value_Per_Share/Price-1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t="inlineStr">
        <is>
          <t>Terminal value % of EV</t>
        </is>
      </c>
      <c r="B30" s="10">
        <f>PV_TV/EV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t="inlineStr">
        <is>
          <t>Implied EV / base-period EBIT</t>
        </is>
      </c>
      <c r="B31" s="20">
        <f>EV/(Revenue_0*Margin_Start)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6" customWidth="1" min="4" max="4"/>
  </cols>
  <sheetData>
    <row r="1">
      <c r="A1" s="1" t="inlineStr">
        <is>
          <t>What is the current price implying?</t>
        </is>
      </c>
      <c r="B1" s="2" t="n"/>
      <c r="C1" s="2" t="n"/>
      <c r="D1" s="2" t="n"/>
    </row>
    <row r="2">
      <c r="A2" t="inlineStr">
        <is>
          <t>Each row solves for one input (others held at their base-case values) so that value per share equals the current price. Solved in Python; values only.</t>
        </is>
      </c>
      <c r="B2" s="2" t="n"/>
      <c r="C2" s="2" t="n"/>
      <c r="D2" s="2" t="n"/>
    </row>
    <row r="3">
      <c r="B3" s="2" t="n"/>
      <c r="C3" s="2" t="n"/>
      <c r="D3" s="2" t="n"/>
    </row>
    <row r="4">
      <c r="A4" s="21" t="inlineStr">
        <is>
          <t>Input solved for</t>
        </is>
      </c>
      <c r="B4" s="13" t="inlineStr">
        <is>
          <t>Assumed</t>
        </is>
      </c>
      <c r="C4" s="13" t="inlineStr">
        <is>
          <t>Implied by price</t>
        </is>
      </c>
      <c r="D4" s="13" t="inlineStr">
        <is>
          <t>Implied 10Y revenue CAGR</t>
        </is>
      </c>
    </row>
    <row r="5">
      <c r="A5" t="inlineStr">
        <is>
          <t>Revenue growth, start of fade line</t>
        </is>
      </c>
      <c r="B5" s="10" t="n">
        <v>0.03</v>
      </c>
      <c r="C5" s="10" t="n">
        <v>-0.1265361560942988</v>
      </c>
      <c r="D5" s="10" t="n">
        <v>-0.04603776902853529</v>
      </c>
    </row>
    <row r="6">
      <c r="A6" t="inlineStr">
        <is>
          <t>Target EBIT margin</t>
        </is>
      </c>
      <c r="B6" s="10" t="n">
        <v>0.17</v>
      </c>
      <c r="C6" s="10" t="n">
        <v>0.1053995961913747</v>
      </c>
      <c r="D6" s="10" t="n">
        <v>0.01705837228896923</v>
      </c>
    </row>
    <row r="7">
      <c r="B7" s="2" t="n"/>
      <c r="C7" s="2" t="n"/>
      <c r="D7" s="2" t="n"/>
    </row>
    <row r="8">
      <c r="A8" t="inlineStr">
        <is>
          <t>Price used: $99.94 as of 2026-10-20</t>
        </is>
      </c>
      <c r="B8" s="2" t="n"/>
      <c r="C8" s="2" t="n"/>
      <c r="D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 analysis (value per share)</t>
        </is>
      </c>
      <c r="B1" s="2" t="n"/>
      <c r="C1" s="2" t="n"/>
      <c r="D1" s="2" t="n"/>
      <c r="E1" s="2" t="n"/>
      <c r="F1" s="2" t="n"/>
    </row>
    <row r="2">
      <c r="B2" s="2" t="n"/>
      <c r="C2" s="2" t="n"/>
      <c r="D2" s="2" t="n"/>
      <c r="E2" s="2" t="n"/>
      <c r="F2" s="2" t="n"/>
    </row>
    <row r="3">
      <c r="A3" s="3" t="inlineStr">
        <is>
          <t>WACC (rows) x terminal growth (columns)</t>
        </is>
      </c>
      <c r="B3" s="2" t="n"/>
      <c r="C3" s="2" t="n"/>
      <c r="D3" s="2" t="n"/>
      <c r="E3" s="2" t="n"/>
      <c r="F3" s="2" t="n"/>
    </row>
    <row r="4">
      <c r="B4" s="22" t="n">
        <v>0.015</v>
      </c>
      <c r="C4" s="22" t="n">
        <v>0.02</v>
      </c>
      <c r="D4" s="22" t="n">
        <v>0.025</v>
      </c>
      <c r="E4" s="22" t="n">
        <v>0.03</v>
      </c>
      <c r="F4" s="22" t="n">
        <v>0.035</v>
      </c>
    </row>
    <row r="5">
      <c r="A5" s="23" t="n">
        <v>0.07845000000000001</v>
      </c>
      <c r="B5" s="19" t="n">
        <v>180.1958575462998</v>
      </c>
      <c r="C5" s="19" t="n">
        <v>191.294910644549</v>
      </c>
      <c r="D5" s="19" t="n">
        <v>204.45069495831</v>
      </c>
      <c r="E5" s="19" t="n">
        <v>220.2997496720865</v>
      </c>
      <c r="F5" s="19" t="n">
        <v>239.7716099052882</v>
      </c>
    </row>
    <row r="6">
      <c r="A6" s="23" t="n">
        <v>0.08845000000000001</v>
      </c>
      <c r="B6" s="19" t="n">
        <v>157.3856206056496</v>
      </c>
      <c r="C6" s="19" t="n">
        <v>165.2650015446324</v>
      </c>
      <c r="D6" s="19" t="n">
        <v>174.3702085068262</v>
      </c>
      <c r="E6" s="19" t="n">
        <v>185.0156494478123</v>
      </c>
      <c r="F6" s="19" t="n">
        <v>197.6333759479038</v>
      </c>
    </row>
    <row r="7">
      <c r="A7" s="23" t="n">
        <v>0.09845000000000001</v>
      </c>
      <c r="B7" s="19" t="n">
        <v>140.0899911012124</v>
      </c>
      <c r="C7" s="19" t="n">
        <v>145.9199491561439</v>
      </c>
      <c r="D7" s="18" t="n">
        <v>152.5303868923924</v>
      </c>
      <c r="E7" s="19" t="n">
        <v>160.0921932684722</v>
      </c>
      <c r="F7" s="19" t="n">
        <v>168.8301213089975</v>
      </c>
    </row>
    <row r="8">
      <c r="A8" s="23" t="n">
        <v>0.10845</v>
      </c>
      <c r="B8" s="19" t="n">
        <v>126.5327403290877</v>
      </c>
      <c r="C8" s="19" t="n">
        <v>130.9862206703496</v>
      </c>
      <c r="D8" s="19" t="n">
        <v>135.9621921410232</v>
      </c>
      <c r="E8" s="19" t="n">
        <v>141.5604369851055</v>
      </c>
      <c r="F8" s="19" t="n">
        <v>147.9079061881908</v>
      </c>
    </row>
    <row r="9">
      <c r="A9" s="23" t="n">
        <v>0.11845</v>
      </c>
      <c r="B9" s="19" t="n">
        <v>115.6251819654652</v>
      </c>
      <c r="C9" s="19" t="n">
        <v>119.1148056576116</v>
      </c>
      <c r="D9" s="19" t="n">
        <v>122.9682852132879</v>
      </c>
      <c r="E9" s="19" t="n">
        <v>127.2472235541826</v>
      </c>
      <c r="F9" s="19" t="n">
        <v>132.0279864672314</v>
      </c>
    </row>
    <row r="10">
      <c r="B10" s="2" t="n"/>
      <c r="C10" s="2" t="n"/>
      <c r="D10" s="2" t="n"/>
      <c r="E10" s="2" t="n"/>
      <c r="F10" s="2" t="n"/>
    </row>
    <row r="11">
      <c r="B11" s="2" t="n"/>
      <c r="C11" s="2" t="n"/>
      <c r="D11" s="2" t="n"/>
      <c r="E11" s="2" t="n"/>
      <c r="F11" s="2" t="n"/>
    </row>
    <row r="12">
      <c r="A12" s="3" t="inlineStr">
        <is>
          <t>Tornado: one input shocked at a time</t>
        </is>
      </c>
      <c r="B12" s="2" t="n"/>
      <c r="C12" s="2" t="n"/>
      <c r="D12" s="2" t="n"/>
      <c r="E12" s="2" t="n"/>
      <c r="F12" s="2" t="n"/>
    </row>
    <row r="13">
      <c r="A13" s="21" t="inlineStr">
        <is>
          <t>Input</t>
        </is>
      </c>
      <c r="B13" s="13" t="inlineStr">
        <is>
          <t>Base</t>
        </is>
      </c>
      <c r="C13" s="13" t="inlineStr">
        <is>
          <t>Shock (+/-)</t>
        </is>
      </c>
      <c r="D13" s="13" t="inlineStr">
        <is>
          <t>Value: down</t>
        </is>
      </c>
      <c r="E13" s="13" t="inlineStr">
        <is>
          <t>Value: up</t>
        </is>
      </c>
      <c r="F13" s="13" t="inlineStr">
        <is>
          <t>Swing</t>
        </is>
      </c>
    </row>
    <row r="14">
      <c r="A14" t="inlineStr">
        <is>
          <t>wacc</t>
        </is>
      </c>
      <c r="B14" s="10" t="n">
        <v>0.09845000000000001</v>
      </c>
      <c r="C14" s="10" t="n">
        <v>0.01</v>
      </c>
      <c r="D14" s="19" t="n">
        <v>174.3702085068262</v>
      </c>
      <c r="E14" s="19" t="n">
        <v>135.9621921410232</v>
      </c>
      <c r="F14" s="19" t="n">
        <v>38.40801636580304</v>
      </c>
    </row>
    <row r="15">
      <c r="A15" t="inlineStr">
        <is>
          <t>margin target</t>
        </is>
      </c>
      <c r="B15" s="10" t="n">
        <v>0.17</v>
      </c>
      <c r="C15" s="10" t="n">
        <v>0.02</v>
      </c>
      <c r="D15" s="19" t="n">
        <v>136.2486358969089</v>
      </c>
      <c r="E15" s="19" t="n">
        <v>168.812137887876</v>
      </c>
      <c r="F15" s="19" t="n">
        <v>32.5635019909671</v>
      </c>
    </row>
    <row r="16">
      <c r="A16" t="inlineStr">
        <is>
          <t>capex pct revenue</t>
        </is>
      </c>
      <c r="B16" s="10" t="n">
        <v>0.055</v>
      </c>
      <c r="C16" s="10" t="n">
        <v>0.01</v>
      </c>
      <c r="D16" s="19" t="n">
        <v>165.7448680515288</v>
      </c>
      <c r="E16" s="19" t="n">
        <v>139.315905733256</v>
      </c>
      <c r="F16" s="19" t="n">
        <v>26.42896231827282</v>
      </c>
    </row>
    <row r="17">
      <c r="A17" t="inlineStr">
        <is>
          <t>growth start</t>
        </is>
      </c>
      <c r="B17" s="10" t="n">
        <v>0.03</v>
      </c>
      <c r="C17" s="10" t="n">
        <v>0.02</v>
      </c>
      <c r="D17" s="19" t="n">
        <v>144.3347432049282</v>
      </c>
      <c r="E17" s="19" t="n">
        <v>161.2274346987246</v>
      </c>
      <c r="F17" s="19" t="n">
        <v>16.89269149379638</v>
      </c>
    </row>
    <row r="18">
      <c r="A18" t="inlineStr">
        <is>
          <t>terminal growth</t>
        </is>
      </c>
      <c r="B18" s="10" t="n">
        <v>0.025</v>
      </c>
      <c r="C18" s="10" t="n">
        <v>0.005</v>
      </c>
      <c r="D18" s="19" t="n">
        <v>145.9199491561439</v>
      </c>
      <c r="E18" s="19" t="n">
        <v>160.0921932684722</v>
      </c>
      <c r="F18" s="19" t="n">
        <v>14.17224411232837</v>
      </c>
    </row>
    <row r="19">
      <c r="A19" t="inlineStr">
        <is>
          <t>tax rate</t>
        </is>
      </c>
      <c r="B19" s="10" t="n">
        <v>0.2947</v>
      </c>
      <c r="C19" s="10" t="n">
        <v>0.03</v>
      </c>
      <c r="D19" s="19" t="n">
        <v>159.1192876305792</v>
      </c>
      <c r="E19" s="19" t="n">
        <v>145.9414861542057</v>
      </c>
      <c r="F19" s="19" t="n">
        <v>13.17780147637345</v>
      </c>
    </row>
    <row r="20">
      <c r="A20" t="inlineStr">
        <is>
          <t>nwc pct revenue</t>
        </is>
      </c>
      <c r="B20" s="10" t="n">
        <v>0.07000000000000001</v>
      </c>
      <c r="C20" s="10" t="n">
        <v>0.02</v>
      </c>
      <c r="D20" s="19" t="n">
        <v>153.0248810700808</v>
      </c>
      <c r="E20" s="19" t="n">
        <v>152.035892714704</v>
      </c>
      <c r="F20" s="19" t="n">
        <v>0.9889883553767618</v>
      </c>
    </row>
    <row r="21">
      <c r="B21" s="2" t="n"/>
      <c r="C21" s="2" t="n"/>
      <c r="D21" s="2" t="n"/>
      <c r="E21" s="2" t="n"/>
      <c r="F21" s="2" t="n"/>
    </row>
    <row r="22">
      <c r="A22" s="3" t="inlineStr">
        <is>
          <t>Scenarios (mechanical: growth +/-4 pts, margin +/-3 pts)</t>
        </is>
      </c>
      <c r="B22" s="2" t="n"/>
      <c r="C22" s="2" t="n"/>
      <c r="D22" s="2" t="n"/>
      <c r="E22" s="2" t="n"/>
      <c r="F22" s="2" t="n"/>
    </row>
    <row r="23">
      <c r="A23" s="21" t="inlineStr">
        <is>
          <t>Scenario</t>
        </is>
      </c>
      <c r="B23" s="13" t="inlineStr">
        <is>
          <t>Growth yr 1</t>
        </is>
      </c>
      <c r="C23" s="13" t="inlineStr">
        <is>
          <t>Target margin</t>
        </is>
      </c>
      <c r="D23" s="13" t="inlineStr">
        <is>
          <t>Value/share</t>
        </is>
      </c>
      <c r="E23" s="13" t="inlineStr">
        <is>
          <t>vs. price</t>
        </is>
      </c>
      <c r="F23" s="13" t="inlineStr">
        <is>
          <t>Weight</t>
        </is>
      </c>
    </row>
    <row r="24">
      <c r="A24" t="inlineStr">
        <is>
          <t>bear</t>
        </is>
      </c>
      <c r="B24" s="10" t="n">
        <v>-0.01</v>
      </c>
      <c r="C24" s="10" t="n">
        <v>0.14</v>
      </c>
      <c r="D24" s="19" t="n">
        <v>115.3624524547555</v>
      </c>
      <c r="E24" s="10" t="n">
        <v>0.1543170866179562</v>
      </c>
      <c r="F24" s="10" t="n">
        <v>0.25</v>
      </c>
    </row>
    <row r="25">
      <c r="A25" t="inlineStr">
        <is>
          <t>base</t>
        </is>
      </c>
      <c r="B25" s="10" t="n">
        <v>0.03</v>
      </c>
      <c r="C25" s="10" t="n">
        <v>0.17</v>
      </c>
      <c r="D25" s="19" t="n">
        <v>152.5303868923924</v>
      </c>
      <c r="E25" s="10" t="n">
        <v>0.5262195634007447</v>
      </c>
      <c r="F25" s="10" t="n">
        <v>0.5</v>
      </c>
    </row>
    <row r="26">
      <c r="A26" t="inlineStr">
        <is>
          <t>bull</t>
        </is>
      </c>
      <c r="B26" s="10" t="n">
        <v>0.07000000000000001</v>
      </c>
      <c r="C26" s="10" t="n">
        <v>0.2</v>
      </c>
      <c r="D26" s="19" t="n">
        <v>198.4516557628887</v>
      </c>
      <c r="E26" s="10" t="n">
        <v>0.9857079339100359</v>
      </c>
      <c r="F26" s="10" t="n">
        <v>0.25</v>
      </c>
    </row>
    <row r="27">
      <c r="A27" s="3" t="inlineStr">
        <is>
          <t>Probability-weighted</t>
        </is>
      </c>
      <c r="B27" s="2" t="n"/>
      <c r="C27" s="2" t="n"/>
      <c r="D27" s="24" t="n">
        <v>154.7187205006073</v>
      </c>
      <c r="E27" s="2" t="n"/>
      <c r="F2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LULU historical financials (SEC 10-K XBRL; $M)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Fiscal year</t>
        </is>
      </c>
      <c r="B3" s="13" t="n">
        <v>2016</v>
      </c>
      <c r="C3" s="13" t="n">
        <v>2017</v>
      </c>
      <c r="D3" s="13" t="n">
        <v>2018</v>
      </c>
      <c r="E3" s="13" t="n">
        <v>2019</v>
      </c>
      <c r="F3" s="13" t="n">
        <v>2020</v>
      </c>
      <c r="G3" s="13" t="n">
        <v>2021</v>
      </c>
      <c r="H3" s="13" t="n">
        <v>2022</v>
      </c>
      <c r="I3" s="13" t="n">
        <v>2023</v>
      </c>
      <c r="J3" s="13" t="n">
        <v>2024</v>
      </c>
      <c r="K3" s="13" t="n">
        <v>2025</v>
      </c>
      <c r="L3" s="13" t="inlineStr">
        <is>
          <t>TTM Aug-26</t>
        </is>
      </c>
    </row>
    <row r="4">
      <c r="A4" t="inlineStr">
        <is>
          <t>revenue</t>
        </is>
      </c>
      <c r="B4" s="11" t="n">
        <v>2344392000</v>
      </c>
      <c r="C4" s="11" t="n">
        <v>2649181000</v>
      </c>
      <c r="D4" s="11" t="n">
        <v>3288319000</v>
      </c>
      <c r="E4" s="11" t="n">
        <v>3979296000</v>
      </c>
      <c r="F4" s="11" t="n">
        <v>4401879000</v>
      </c>
      <c r="G4" s="11" t="n">
        <v>6256617000</v>
      </c>
      <c r="H4" s="11" t="n">
        <v>8110518000</v>
      </c>
      <c r="I4" s="11" t="n">
        <v>9619278000</v>
      </c>
      <c r="J4" s="11" t="n">
        <v>10588126000</v>
      </c>
      <c r="K4" s="11" t="n">
        <v>11102600000</v>
      </c>
      <c r="L4" s="11" t="n">
        <v>11093955000</v>
      </c>
    </row>
    <row r="5">
      <c r="A5" t="inlineStr">
        <is>
          <t>gross profit</t>
        </is>
      </c>
      <c r="B5" s="11" t="n">
        <v>1199617000</v>
      </c>
      <c r="C5" s="11" t="n">
        <v>1398790000</v>
      </c>
      <c r="D5" s="11" t="n">
        <v>1816287000</v>
      </c>
      <c r="E5" s="11" t="n">
        <v>2223386000</v>
      </c>
      <c r="F5" s="11" t="n">
        <v>2463991000</v>
      </c>
      <c r="G5" s="11" t="n">
        <v>3608565000</v>
      </c>
      <c r="H5" s="11" t="n">
        <v>4492340000</v>
      </c>
      <c r="I5" s="11" t="n">
        <v>5609405000</v>
      </c>
      <c r="J5" s="11" t="n">
        <v>6270811000</v>
      </c>
      <c r="K5" s="11" t="n">
        <v>6284132000</v>
      </c>
      <c r="L5" s="11" t="n">
        <v>6224500000</v>
      </c>
    </row>
    <row r="6">
      <c r="A6" t="inlineStr">
        <is>
          <t>ebit</t>
        </is>
      </c>
      <c r="B6" s="11" t="n">
        <v>421152000</v>
      </c>
      <c r="C6" s="11" t="n">
        <v>456001000</v>
      </c>
      <c r="D6" s="11" t="n">
        <v>705836000</v>
      </c>
      <c r="E6" s="11" t="n">
        <v>889110000</v>
      </c>
      <c r="F6" s="11" t="n">
        <v>819986000</v>
      </c>
      <c r="G6" s="11" t="n">
        <v>1333355000</v>
      </c>
      <c r="H6" s="11" t="n">
        <v>1328408000</v>
      </c>
      <c r="I6" s="11" t="n">
        <v>2132676000</v>
      </c>
      <c r="J6" s="11" t="n">
        <v>2505697000</v>
      </c>
      <c r="K6" s="11" t="n">
        <v>2210615000</v>
      </c>
      <c r="L6" s="11" t="n">
        <v>1978775000</v>
      </c>
    </row>
    <row r="7">
      <c r="A7" t="inlineStr">
        <is>
          <t>pretax income</t>
        </is>
      </c>
      <c r="B7" s="11" t="n">
        <v>422729000</v>
      </c>
      <c r="C7" s="11" t="n">
        <v>459998000</v>
      </c>
      <c r="D7" s="11" t="n">
        <v>715250000</v>
      </c>
      <c r="E7" s="11" t="n">
        <v>897393000</v>
      </c>
      <c r="F7" s="11" t="n">
        <v>819350000</v>
      </c>
      <c r="G7" s="11" t="n">
        <v>1333869000</v>
      </c>
      <c r="H7" s="11" t="n">
        <v>1332571000</v>
      </c>
      <c r="I7" s="11" t="n">
        <v>2175735000</v>
      </c>
      <c r="J7" s="11" t="n">
        <v>2576077000</v>
      </c>
      <c r="K7" s="11" t="n">
        <v>2238967000</v>
      </c>
      <c r="L7" s="11" t="n">
        <v>2008433000</v>
      </c>
    </row>
    <row r="8">
      <c r="A8" t="inlineStr">
        <is>
          <t>income tax</t>
        </is>
      </c>
      <c r="B8" s="11" t="n">
        <v>119348000</v>
      </c>
      <c r="C8" s="11" t="n">
        <v>201336000</v>
      </c>
      <c r="D8" s="11" t="n">
        <v>231449000</v>
      </c>
      <c r="E8" s="11" t="n">
        <v>251797000</v>
      </c>
      <c r="F8" s="11" t="n">
        <v>230437000</v>
      </c>
      <c r="G8" s="11" t="n">
        <v>358547000</v>
      </c>
      <c r="H8" s="11" t="n">
        <v>477771000</v>
      </c>
      <c r="I8" s="11" t="n">
        <v>625545000</v>
      </c>
      <c r="J8" s="11" t="n">
        <v>761461000</v>
      </c>
      <c r="K8" s="11" t="n">
        <v>659784000</v>
      </c>
      <c r="L8" s="11" t="n">
        <v>590456000</v>
      </c>
    </row>
    <row r="9">
      <c r="A9" t="inlineStr">
        <is>
          <t>net income</t>
        </is>
      </c>
      <c r="B9" s="11" t="n">
        <v>303381000</v>
      </c>
      <c r="C9" s="11" t="n">
        <v>258662000</v>
      </c>
      <c r="D9" s="11" t="n">
        <v>483801000</v>
      </c>
      <c r="E9" s="11" t="n">
        <v>645596000</v>
      </c>
      <c r="F9" s="11" t="n">
        <v>588913000</v>
      </c>
      <c r="G9" s="11" t="n">
        <v>975322000</v>
      </c>
      <c r="H9" s="11" t="n">
        <v>854800000</v>
      </c>
      <c r="I9" s="11" t="n">
        <v>1550190000</v>
      </c>
      <c r="J9" s="11" t="n">
        <v>1814616000</v>
      </c>
      <c r="K9" s="11" t="n">
        <v>1579183000</v>
      </c>
      <c r="L9" s="11" t="n">
        <v>1417977000</v>
      </c>
    </row>
    <row r="10">
      <c r="A10" t="inlineStr">
        <is>
          <t>interest expense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</row>
    <row r="11">
      <c r="A11" t="inlineStr">
        <is>
          <t>d and a</t>
        </is>
      </c>
      <c r="B11" s="11" t="n">
        <v>87697000</v>
      </c>
      <c r="C11" s="11" t="n">
        <v>108235000</v>
      </c>
      <c r="D11" s="11" t="n">
        <v>122484000</v>
      </c>
      <c r="E11" s="11" t="n">
        <v>161933000</v>
      </c>
      <c r="F11" s="11" t="n">
        <v>185478000</v>
      </c>
      <c r="G11" s="11" t="n">
        <v>224206000</v>
      </c>
      <c r="H11" s="11" t="n">
        <v>291791000</v>
      </c>
      <c r="I11" s="11" t="n">
        <v>379384000</v>
      </c>
      <c r="J11" s="11" t="n">
        <v>446524000</v>
      </c>
      <c r="K11" s="11" t="n">
        <v>496228000</v>
      </c>
      <c r="L11" s="11" t="n">
        <v>539651000</v>
      </c>
    </row>
    <row r="12">
      <c r="A12" t="inlineStr">
        <is>
          <t>sbc</t>
        </is>
      </c>
      <c r="B12" s="11" t="n">
        <v>16822000</v>
      </c>
      <c r="C12" s="11" t="n">
        <v>17610000</v>
      </c>
      <c r="D12" s="11" t="n">
        <v>28568000</v>
      </c>
      <c r="E12" s="11" t="n">
        <v>45593000</v>
      </c>
      <c r="F12" s="11" t="n">
        <v>50797000</v>
      </c>
      <c r="G12" s="11" t="n">
        <v>69137000</v>
      </c>
      <c r="H12" s="11" t="n">
        <v>78075000</v>
      </c>
      <c r="I12" s="11" t="n">
        <v>93560000</v>
      </c>
      <c r="J12" s="11" t="n">
        <v>90011000</v>
      </c>
      <c r="K12" s="11" t="n">
        <v>62203000</v>
      </c>
      <c r="L12" s="11" t="n">
        <v>91231000</v>
      </c>
    </row>
    <row r="13">
      <c r="A13" t="inlineStr">
        <is>
          <t>cfo</t>
        </is>
      </c>
      <c r="B13" s="11" t="n">
        <v>386392000</v>
      </c>
      <c r="C13" s="11" t="n">
        <v>489337000</v>
      </c>
      <c r="D13" s="11" t="n">
        <v>742779000</v>
      </c>
      <c r="E13" s="11" t="n">
        <v>669316000</v>
      </c>
      <c r="F13" s="11" t="n">
        <v>803336000</v>
      </c>
      <c r="G13" s="11" t="n">
        <v>1389108000</v>
      </c>
      <c r="H13" s="11" t="n">
        <v>966463000</v>
      </c>
      <c r="I13" s="11" t="n">
        <v>2296164000</v>
      </c>
      <c r="J13" s="11" t="n">
        <v>2272713000</v>
      </c>
      <c r="K13" s="11" t="n">
        <v>1602477000</v>
      </c>
      <c r="L13" s="11" t="n">
        <v>1982033000</v>
      </c>
    </row>
    <row r="14">
      <c r="A14" t="inlineStr">
        <is>
          <t>capex</t>
        </is>
      </c>
      <c r="B14" s="11" t="n">
        <v>149511000</v>
      </c>
      <c r="C14" s="11" t="n">
        <v>157864000</v>
      </c>
      <c r="D14" s="11" t="n">
        <v>225807000</v>
      </c>
      <c r="E14" s="11" t="n">
        <v>283048000</v>
      </c>
      <c r="F14" s="11" t="n">
        <v>229226000</v>
      </c>
      <c r="G14" s="11" t="n">
        <v>394502000</v>
      </c>
      <c r="H14" s="11" t="n">
        <v>638657000</v>
      </c>
      <c r="I14" s="11" t="n">
        <v>651865000</v>
      </c>
      <c r="J14" s="11" t="n">
        <v>689232000</v>
      </c>
      <c r="K14" s="11" t="n">
        <v>680802000</v>
      </c>
      <c r="L14" s="11" t="n">
        <v>627697000</v>
      </c>
    </row>
    <row r="15">
      <c r="A15" t="inlineStr">
        <is>
          <t>buybacks</t>
        </is>
      </c>
      <c r="B15" s="11" t="n">
        <v>29327000</v>
      </c>
      <c r="C15" s="11" t="n">
        <v>100261000</v>
      </c>
      <c r="D15" s="11" t="n">
        <v>598340000</v>
      </c>
      <c r="E15" s="11" t="n">
        <v>173399000</v>
      </c>
      <c r="F15" s="11" t="n">
        <v>63663000</v>
      </c>
      <c r="G15" s="11" t="n">
        <v>812602000</v>
      </c>
      <c r="H15" s="11" t="n">
        <v>444001000</v>
      </c>
      <c r="I15" s="11" t="n">
        <v>558652000</v>
      </c>
      <c r="J15" s="11" t="n">
        <v>1636879000</v>
      </c>
      <c r="K15" s="11" t="n">
        <v>1178349000</v>
      </c>
      <c r="L15" s="11" t="n">
        <v>1157782000</v>
      </c>
    </row>
    <row r="16">
      <c r="A16" t="inlineStr">
        <is>
          <t>diluted shares</t>
        </is>
      </c>
      <c r="B16" s="25" t="n">
        <v>137302000</v>
      </c>
      <c r="C16" s="25" t="n">
        <v>136198000</v>
      </c>
      <c r="D16" s="25" t="n">
        <v>133971000</v>
      </c>
      <c r="E16" s="25" t="n">
        <v>130955000</v>
      </c>
      <c r="F16" s="25" t="n">
        <v>130871000</v>
      </c>
      <c r="G16" s="25" t="n">
        <v>130295000</v>
      </c>
      <c r="H16" s="25" t="n">
        <v>128017000</v>
      </c>
      <c r="I16" s="25" t="n">
        <v>127060000</v>
      </c>
      <c r="J16" s="25" t="n">
        <v>123935000</v>
      </c>
      <c r="K16" s="25" t="n">
        <v>119068000</v>
      </c>
      <c r="L16" s="25" t="n">
        <v>119068000</v>
      </c>
    </row>
    <row r="17">
      <c r="A17" t="inlineStr">
        <is>
          <t>cash</t>
        </is>
      </c>
      <c r="B17" s="11" t="n">
        <v>734846000</v>
      </c>
      <c r="C17" s="11" t="n">
        <v>990501000</v>
      </c>
      <c r="D17" s="11" t="n">
        <v>881320000</v>
      </c>
      <c r="E17" s="11" t="n">
        <v>1093505000</v>
      </c>
      <c r="F17" s="11" t="n">
        <v>1150517000</v>
      </c>
      <c r="G17" s="11" t="n">
        <v>1259871000</v>
      </c>
      <c r="H17" s="11" t="n">
        <v>1154867000</v>
      </c>
      <c r="I17" s="11" t="n">
        <v>2243971000</v>
      </c>
      <c r="J17" s="11" t="n">
        <v>1984336000</v>
      </c>
      <c r="K17" s="11" t="n">
        <v>1807202000</v>
      </c>
      <c r="L17" s="11" t="n">
        <v>1389737000</v>
      </c>
    </row>
    <row r="18">
      <c r="A18" t="inlineStr">
        <is>
          <t>short term investments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</row>
    <row r="19">
      <c r="A19" t="inlineStr">
        <is>
          <t>current assets</t>
        </is>
      </c>
      <c r="B19" s="11" t="n">
        <v>1162737000</v>
      </c>
      <c r="C19" s="11" t="n">
        <v>1436282000</v>
      </c>
      <c r="D19" s="11" t="n">
        <v>1429282000</v>
      </c>
      <c r="E19" s="11" t="n">
        <v>1807938000</v>
      </c>
      <c r="F19" s="11" t="n">
        <v>2124379000</v>
      </c>
      <c r="G19" s="11" t="n">
        <v>2614853000</v>
      </c>
      <c r="H19" s="11" t="n">
        <v>3159453000</v>
      </c>
      <c r="I19" s="11" t="n">
        <v>4060577000</v>
      </c>
      <c r="J19" s="11" t="n">
        <v>3980302000</v>
      </c>
      <c r="K19" s="11" t="n">
        <v>4262701000</v>
      </c>
      <c r="L19" s="11" t="n">
        <v>3945587000</v>
      </c>
    </row>
    <row r="20">
      <c r="A20" t="inlineStr">
        <is>
          <t>total assets</t>
        </is>
      </c>
      <c r="B20" s="11" t="n">
        <v>1657541000</v>
      </c>
      <c r="C20" s="11" t="n">
        <v>1998483000</v>
      </c>
      <c r="D20" s="11" t="n">
        <v>2084711000</v>
      </c>
      <c r="E20" s="11" t="n">
        <v>3281354000</v>
      </c>
      <c r="F20" s="11" t="n">
        <v>4185215000</v>
      </c>
      <c r="G20" s="11" t="n">
        <v>4942478000</v>
      </c>
      <c r="H20" s="11" t="n">
        <v>5607038000</v>
      </c>
      <c r="I20" s="11" t="n">
        <v>7091941000</v>
      </c>
      <c r="J20" s="11" t="n">
        <v>7603292000</v>
      </c>
      <c r="K20" s="11" t="n">
        <v>8456743000</v>
      </c>
      <c r="L20" s="11" t="n">
        <v>8484578000</v>
      </c>
    </row>
    <row r="21">
      <c r="A21" t="inlineStr">
        <is>
          <t>current liabilities</t>
        </is>
      </c>
      <c r="B21" s="11" t="n">
        <v>241990000</v>
      </c>
      <c r="C21" s="11" t="n">
        <v>292598000</v>
      </c>
      <c r="D21" s="11" t="n">
        <v>500477000</v>
      </c>
      <c r="E21" s="11" t="n">
        <v>620418000</v>
      </c>
      <c r="F21" s="11" t="n">
        <v>883178000</v>
      </c>
      <c r="G21" s="11" t="n">
        <v>1405334000</v>
      </c>
      <c r="H21" s="11" t="n">
        <v>1492198000</v>
      </c>
      <c r="I21" s="11" t="n">
        <v>1631261000</v>
      </c>
      <c r="J21" s="11" t="n">
        <v>1839630000</v>
      </c>
      <c r="K21" s="11" t="n">
        <v>1887548000</v>
      </c>
      <c r="L21" s="11" t="n">
        <v>1801651000</v>
      </c>
    </row>
    <row r="22">
      <c r="A22" t="inlineStr">
        <is>
          <t>total liabilities</t>
        </is>
      </c>
      <c r="B22" s="11" t="n">
        <v>297568000</v>
      </c>
      <c r="C22" s="11" t="n">
        <v>401523000</v>
      </c>
      <c r="D22" s="11" t="n">
        <v>638736000</v>
      </c>
      <c r="E22" s="11" t="n">
        <v>1329136000</v>
      </c>
      <c r="F22" s="11" t="n">
        <v>1626649000</v>
      </c>
      <c r="G22" s="11" t="n">
        <v>2202432000</v>
      </c>
      <c r="H22" s="11" t="n">
        <v>2458239000</v>
      </c>
      <c r="I22" s="11" t="n">
        <v>2859860000</v>
      </c>
      <c r="J22" s="11" t="n">
        <v>3279245000</v>
      </c>
      <c r="K22" s="11" t="n">
        <v>3494903000</v>
      </c>
      <c r="L22" s="11" t="n">
        <v>3693404000</v>
      </c>
    </row>
    <row r="23">
      <c r="A23" t="inlineStr">
        <is>
          <t>equity</t>
        </is>
      </c>
      <c r="B23" s="11" t="n">
        <v>1359973000</v>
      </c>
      <c r="C23" s="11" t="n">
        <v>1596960000</v>
      </c>
      <c r="D23" s="11" t="n">
        <v>1445975000</v>
      </c>
      <c r="E23" s="11" t="n">
        <v>1952218000</v>
      </c>
      <c r="F23" s="11" t="n">
        <v>2558566000</v>
      </c>
      <c r="G23" s="11" t="n">
        <v>2740046000</v>
      </c>
      <c r="H23" s="11" t="n">
        <v>3148799000</v>
      </c>
      <c r="I23" s="11" t="n">
        <v>4232081000</v>
      </c>
      <c r="J23" s="11" t="n">
        <v>4324047000</v>
      </c>
      <c r="K23" s="11" t="n">
        <v>4961840000</v>
      </c>
      <c r="L23" s="11" t="n">
        <v>4791174000</v>
      </c>
    </row>
    <row r="24">
      <c r="A24" t="inlineStr">
        <is>
          <t>inventory</t>
        </is>
      </c>
      <c r="B24" s="11" t="n">
        <v>298432000</v>
      </c>
      <c r="C24" s="11" t="n">
        <v>329562000</v>
      </c>
      <c r="D24" s="11" t="n">
        <v>404842000</v>
      </c>
      <c r="E24" s="11" t="n">
        <v>518513000</v>
      </c>
      <c r="F24" s="11" t="n">
        <v>647230000</v>
      </c>
      <c r="G24" s="11" t="n">
        <v>966481000</v>
      </c>
      <c r="H24" s="11" t="n">
        <v>1447367000</v>
      </c>
      <c r="I24" s="11" t="n">
        <v>1323602000</v>
      </c>
      <c r="J24" s="11" t="n">
        <v>1442081000</v>
      </c>
      <c r="K24" s="11" t="n">
        <v>1700753000</v>
      </c>
      <c r="L24" s="11" t="n">
        <v>1711450000</v>
      </c>
    </row>
    <row r="25">
      <c r="A25" t="inlineStr">
        <is>
          <t>long term debt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</row>
    <row r="26">
      <c r="A26" t="inlineStr">
        <is>
          <t>current debt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</row>
    <row r="27">
      <c r="A27" t="inlineStr">
        <is>
          <t>short term borrowings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</row>
    <row r="28">
      <c r="A28" t="inlineStr">
        <is>
          <t>operating lease liability</t>
        </is>
      </c>
      <c r="B28" s="11" t="n">
        <v>0</v>
      </c>
      <c r="C28" s="11" t="n">
        <v>0</v>
      </c>
      <c r="D28" s="11" t="n">
        <v>650000000</v>
      </c>
      <c r="E28" s="11" t="n">
        <v>739961000</v>
      </c>
      <c r="F28" s="11" t="n">
        <v>798681000</v>
      </c>
      <c r="G28" s="11" t="n">
        <v>881052000</v>
      </c>
      <c r="H28" s="11" t="n">
        <v>1070334000</v>
      </c>
      <c r="I28" s="11" t="n">
        <v>1403282000</v>
      </c>
      <c r="J28" s="11" t="n">
        <v>1575791000</v>
      </c>
      <c r="K28" s="11" t="n">
        <v>1798441000</v>
      </c>
      <c r="L28" s="11" t="n">
        <v>2141127000</v>
      </c>
    </row>
    <row r="29">
      <c r="A29" t="inlineStr">
        <is>
          <t>operating lease liability current</t>
        </is>
      </c>
      <c r="B29" s="11" t="n">
        <v>0</v>
      </c>
      <c r="C29" s="11" t="n">
        <v>0</v>
      </c>
      <c r="D29" s="11" t="n">
        <v>0</v>
      </c>
      <c r="E29" s="11" t="n">
        <v>128497000</v>
      </c>
      <c r="F29" s="11" t="n">
        <v>166091000</v>
      </c>
      <c r="G29" s="11" t="n">
        <v>188996000</v>
      </c>
      <c r="H29" s="11" t="n">
        <v>207972000</v>
      </c>
      <c r="I29" s="11" t="n">
        <v>249270000</v>
      </c>
      <c r="J29" s="11" t="n">
        <v>275154000</v>
      </c>
      <c r="K29" s="11" t="n">
        <v>298724000</v>
      </c>
      <c r="L29" s="11" t="n">
        <v>366649000</v>
      </c>
    </row>
    <row r="30">
      <c r="A30" t="inlineStr">
        <is>
          <t>total debt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</row>
    <row r="31">
      <c r="A31" t="inlineStr">
        <is>
          <t>nwc</t>
        </is>
      </c>
      <c r="B31" s="11" t="n">
        <v>185901000</v>
      </c>
      <c r="C31" s="11" t="n">
        <v>153183000</v>
      </c>
      <c r="D31" s="11" t="n">
        <v>47485000</v>
      </c>
      <c r="E31" s="11" t="n">
        <v>222512000</v>
      </c>
      <c r="F31" s="11" t="n">
        <v>256775000</v>
      </c>
      <c r="G31" s="11" t="n">
        <v>138644000</v>
      </c>
      <c r="H31" s="11" t="n">
        <v>720360000</v>
      </c>
      <c r="I31" s="11" t="n">
        <v>434615000</v>
      </c>
      <c r="J31" s="11" t="n">
        <v>431490000</v>
      </c>
      <c r="K31" s="11" t="n">
        <v>866675000</v>
      </c>
      <c r="L31" s="11" t="n">
        <v>1120848000</v>
      </c>
    </row>
    <row r="32">
      <c r="A32" t="inlineStr">
        <is>
          <t>fcff hist</t>
        </is>
      </c>
      <c r="B32" s="11" t="n">
        <v>236881000</v>
      </c>
      <c r="C32" s="11" t="n">
        <v>331473000</v>
      </c>
      <c r="D32" s="11" t="n">
        <v>516972000</v>
      </c>
      <c r="E32" s="11" t="n">
        <v>386268000</v>
      </c>
      <c r="F32" s="11" t="n">
        <v>574110000</v>
      </c>
      <c r="G32" s="11" t="n">
        <v>994606000</v>
      </c>
      <c r="H32" s="11" t="n">
        <v>327806000</v>
      </c>
      <c r="I32" s="11" t="n">
        <v>1644299000</v>
      </c>
      <c r="J32" s="11" t="n">
        <v>1583481000</v>
      </c>
      <c r="K32" s="11" t="n">
        <v>921675000</v>
      </c>
      <c r="L32" s="11" t="n">
        <v>1354336000</v>
      </c>
    </row>
    <row r="33">
      <c r="A33" t="inlineStr">
        <is>
          <t>revenue growth</t>
        </is>
      </c>
      <c r="B33" s="2" t="n"/>
      <c r="C33" s="10" t="n">
        <v>0.1300076949588636</v>
      </c>
      <c r="D33" s="10" t="n">
        <v>0.2412587135420343</v>
      </c>
      <c r="E33" s="10" t="n">
        <v>0.2101307689430374</v>
      </c>
      <c r="F33" s="10" t="n">
        <v>0.106195417480881</v>
      </c>
      <c r="G33" s="10" t="n">
        <v>0.4213514274245158</v>
      </c>
      <c r="H33" s="10" t="n">
        <v>0.2963104502001641</v>
      </c>
      <c r="I33" s="10" t="n">
        <v>0.1860251096169196</v>
      </c>
      <c r="J33" s="10" t="n">
        <v>0.1007194095024595</v>
      </c>
      <c r="K33" s="10" t="n">
        <v>0.04858971266492285</v>
      </c>
      <c r="L33" s="10" t="n">
        <v>0.01741731226859478</v>
      </c>
    </row>
    <row r="34">
      <c r="A34" t="inlineStr">
        <is>
          <t>gross margin</t>
        </is>
      </c>
      <c r="B34" s="10" t="n">
        <v>0.511696422782538</v>
      </c>
      <c r="C34" s="10" t="n">
        <v>0.5280084675226041</v>
      </c>
      <c r="D34" s="10" t="n">
        <v>0.5523451343984571</v>
      </c>
      <c r="E34" s="10" t="n">
        <v>0.5587385306345645</v>
      </c>
      <c r="F34" s="10" t="n">
        <v>0.5597589120464238</v>
      </c>
      <c r="G34" s="10" t="n">
        <v>0.5767597728932424</v>
      </c>
      <c r="H34" s="10" t="n">
        <v>0.5538906392908567</v>
      </c>
      <c r="I34" s="10" t="n">
        <v>0.583141998806979</v>
      </c>
      <c r="J34" s="10" t="n">
        <v>0.5922493744407651</v>
      </c>
      <c r="K34" s="10" t="n">
        <v>0.566005440167168</v>
      </c>
      <c r="L34" s="10" t="n">
        <v>0.5610713221750043</v>
      </c>
    </row>
    <row r="35">
      <c r="A35" t="inlineStr">
        <is>
          <t>ebit margin</t>
        </is>
      </c>
      <c r="B35" s="10" t="n">
        <v>0.1796423123777935</v>
      </c>
      <c r="C35" s="10" t="n">
        <v>0.17212904667518</v>
      </c>
      <c r="D35" s="10" t="n">
        <v>0.214649491122972</v>
      </c>
      <c r="E35" s="10" t="n">
        <v>0.2234339943547803</v>
      </c>
      <c r="F35" s="10" t="n">
        <v>0.1862809041320763</v>
      </c>
      <c r="G35" s="10" t="n">
        <v>0.2131111749368708</v>
      </c>
      <c r="H35" s="10" t="n">
        <v>0.163788305506504</v>
      </c>
      <c r="I35" s="10" t="n">
        <v>0.221708531555071</v>
      </c>
      <c r="J35" s="10" t="n">
        <v>0.2366516038815556</v>
      </c>
      <c r="K35" s="10" t="n">
        <v>0.1991078666258354</v>
      </c>
      <c r="L35" s="10" t="n">
        <v>0.178365154717141</v>
      </c>
    </row>
    <row r="36">
      <c r="A36" t="inlineStr">
        <is>
          <t>effective tax rate</t>
        </is>
      </c>
      <c r="B36" s="10" t="n">
        <v>0.2823274485545113</v>
      </c>
      <c r="C36" s="10" t="n">
        <v>0.4376888595167805</v>
      </c>
      <c r="D36" s="10" t="n">
        <v>0.3235917511359664</v>
      </c>
      <c r="E36" s="10" t="n">
        <v>0.2805872120687369</v>
      </c>
      <c r="F36" s="10" t="n">
        <v>0.2812436687618234</v>
      </c>
      <c r="G36" s="10" t="n">
        <v>0.2688022586925702</v>
      </c>
      <c r="H36" s="10" t="n">
        <v>0.3585332413807594</v>
      </c>
      <c r="I36" s="10" t="n">
        <v>0.287509738088508</v>
      </c>
      <c r="J36" s="10" t="n">
        <v>0.2955893787336326</v>
      </c>
      <c r="K36" s="10" t="n">
        <v>0.2946823244826744</v>
      </c>
      <c r="L36" s="10" t="n">
        <v>0.2939883979201696</v>
      </c>
    </row>
    <row r="37">
      <c r="A37" t="inlineStr">
        <is>
          <t>d and a pct revenue</t>
        </is>
      </c>
      <c r="B37" s="10" t="n">
        <v>0.03740714010284969</v>
      </c>
      <c r="C37" s="10" t="n">
        <v>0.04085602305014267</v>
      </c>
      <c r="D37" s="10" t="n">
        <v>0.03724821101602369</v>
      </c>
      <c r="E37" s="10" t="n">
        <v>0.04069388153080344</v>
      </c>
      <c r="F37" s="10" t="n">
        <v>0.04213609688044583</v>
      </c>
      <c r="G37" s="10" t="n">
        <v>0.03583502074683491</v>
      </c>
      <c r="H37" s="10" t="n">
        <v>0.03597686362326056</v>
      </c>
      <c r="I37" s="10" t="n">
        <v>0.03943996628437186</v>
      </c>
      <c r="J37" s="10" t="n">
        <v>0.04217214642137806</v>
      </c>
      <c r="K37" s="10" t="n">
        <v>0.04469475618323636</v>
      </c>
      <c r="L37" s="10" t="n">
        <v>0.04864369830236377</v>
      </c>
    </row>
    <row r="38">
      <c r="A38" t="inlineStr">
        <is>
          <t>capex pct revenue</t>
        </is>
      </c>
      <c r="B38" s="10" t="n">
        <v>0.06377389105576201</v>
      </c>
      <c r="C38" s="10" t="n">
        <v>0.05958973735656416</v>
      </c>
      <c r="D38" s="10" t="n">
        <v>0.06866943261891562</v>
      </c>
      <c r="E38" s="10" t="n">
        <v>0.07113016975867088</v>
      </c>
      <c r="F38" s="10" t="n">
        <v>0.052074579969145</v>
      </c>
      <c r="G38" s="10" t="n">
        <v>0.06305356393079518</v>
      </c>
      <c r="H38" s="10" t="n">
        <v>0.07874429228811279</v>
      </c>
      <c r="I38" s="10" t="n">
        <v>0.06776652052264213</v>
      </c>
      <c r="J38" s="10" t="n">
        <v>0.0650948052563787</v>
      </c>
      <c r="K38" s="10" t="n">
        <v>0.06131915046925945</v>
      </c>
      <c r="L38" s="10" t="n">
        <v>0.05658009249181199</v>
      </c>
    </row>
    <row r="39">
      <c r="A39" t="inlineStr">
        <is>
          <t>nwc pct revenue</t>
        </is>
      </c>
      <c r="B39" s="10" t="n">
        <v>0.07929603922893441</v>
      </c>
      <c r="C39" s="10" t="n">
        <v>0.05782277617120159</v>
      </c>
      <c r="D39" s="10" t="n">
        <v>0.01444050896521901</v>
      </c>
      <c r="E39" s="10" t="n">
        <v>0.05591742861048789</v>
      </c>
      <c r="F39" s="10" t="n">
        <v>0.05833304368429936</v>
      </c>
      <c r="G39" s="10" t="n">
        <v>0.02215957921029847</v>
      </c>
      <c r="H39" s="10" t="n">
        <v>0.08881800151359014</v>
      </c>
      <c r="I39" s="10" t="n">
        <v>0.04518166540149895</v>
      </c>
      <c r="J39" s="10" t="n">
        <v>0.04075225398715505</v>
      </c>
      <c r="K39" s="10" t="n">
        <v>0.07806054437699278</v>
      </c>
      <c r="L39" s="10" t="n">
        <v>0.101032318952078</v>
      </c>
    </row>
    <row r="40">
      <c r="A40" t="inlineStr">
        <is>
          <t>sbc pct revenue</t>
        </is>
      </c>
      <c r="B40" s="10" t="n">
        <v>0.007175421175298329</v>
      </c>
      <c r="C40" s="10" t="n">
        <v>0.006647337422395827</v>
      </c>
      <c r="D40" s="10" t="n">
        <v>0.008687721598786493</v>
      </c>
      <c r="E40" s="10" t="n">
        <v>0.0114575543010623</v>
      </c>
      <c r="F40" s="10" t="n">
        <v>0.01153984468905211</v>
      </c>
      <c r="G40" s="10" t="n">
        <v>0.01105022091011804</v>
      </c>
      <c r="H40" s="10" t="n">
        <v>0.009626388844707576</v>
      </c>
      <c r="I40" s="10" t="n">
        <v>0.009726301703724542</v>
      </c>
      <c r="J40" s="10" t="n">
        <v>0.0085011266394072</v>
      </c>
      <c r="K40" s="10" t="n">
        <v>0.005602561562156612</v>
      </c>
      <c r="L40" s="10" t="n">
        <v>0.008223487475837066</v>
      </c>
    </row>
    <row r="41">
      <c r="A41" t="inlineStr">
        <is>
          <t>roic</t>
        </is>
      </c>
      <c r="B41" s="10" t="n">
        <v>0.4835005213122621</v>
      </c>
      <c r="C41" s="10" t="n">
        <v>0.4228058984556063</v>
      </c>
      <c r="D41" s="10" t="n">
        <v>0.8455309751001833</v>
      </c>
      <c r="E41" s="10" t="n">
        <v>0.7448787940529202</v>
      </c>
      <c r="F41" s="10" t="n">
        <v>0.4185721725782749</v>
      </c>
      <c r="G41" s="10" t="n">
        <v>0.6586695251311284</v>
      </c>
      <c r="H41" s="10" t="n">
        <v>0.4273614014338845</v>
      </c>
      <c r="I41" s="10" t="n">
        <v>0.7642991996480843</v>
      </c>
      <c r="J41" s="10" t="n">
        <v>0.754383588603581</v>
      </c>
      <c r="K41" s="10" t="n">
        <v>0.4942519025205848</v>
      </c>
      <c r="L41" s="10" t="n">
        <v>0.4107199715607011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2026-10-21T20:41:18Z</dcterms:created>
  <dcterms:modified xmlns:dcterms="http://purl.org/dc/terms/" xmlns:xsi="http://www.w3.org/2001/XMLSchema-instance" xsi:type="dcterms:W3CDTF">2026-10-21T20:41:18Z</dcterms:modified>
</cp:coreProperties>
</file>